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аксим\Desktop\study\семестр 2\Информационные системы и технологии\Дз\Поиск решения\"/>
    </mc:Choice>
  </mc:AlternateContent>
  <xr:revisionPtr revIDLastSave="0" documentId="8_{210771FB-4861-4617-B465-688F732EEF19}" xr6:coauthVersionLast="47" xr6:coauthVersionMax="47" xr10:uidLastSave="{00000000-0000-0000-0000-000000000000}"/>
  <bookViews>
    <workbookView xWindow="-108" yWindow="-108" windowWidth="23256" windowHeight="13896" activeTab="1" xr2:uid="{C7FB2E28-16DB-44DE-91E7-28D17E6331D6}"/>
  </bookViews>
  <sheets>
    <sheet name="Задача 5" sheetId="1" r:id="rId1"/>
    <sheet name="Задача 6" sheetId="2" r:id="rId2"/>
  </sheets>
  <definedNames>
    <definedName name="solver_adj" localSheetId="0" hidden="1">'Задача 5'!$F$16:$F$18</definedName>
    <definedName name="solver_adj" localSheetId="1" hidden="1">'Задача 6'!$B$9:$B$14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'Задача 5'!$B$19</definedName>
    <definedName name="solver_lhs1" localSheetId="1" hidden="1">'Задача 6'!$B$9:$B$14</definedName>
    <definedName name="solver_lhs2" localSheetId="0" hidden="1">'Задача 5'!$C$19</definedName>
    <definedName name="solver_lhs2" localSheetId="1" hidden="1">'Задача 6'!$C$15</definedName>
    <definedName name="solver_lhs3" localSheetId="0" hidden="1">'Задача 5'!$D$19</definedName>
    <definedName name="solver_lhs3" localSheetId="1" hidden="1">'Задача 6'!$D$15</definedName>
    <definedName name="solver_lhs4" localSheetId="0" hidden="1">'Задача 5'!$E$19</definedName>
    <definedName name="solver_lhs4" localSheetId="1" hidden="1">'Задача 6'!$E$15</definedName>
    <definedName name="solver_lhs5" localSheetId="0" hidden="1">'Задача 5'!$F$16:$F$18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'Задача 5'!$G$19</definedName>
    <definedName name="solver_opt" localSheetId="1" hidden="1">'Задача 6'!$B$15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4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el4" localSheetId="0" hidden="1">1</definedName>
    <definedName name="solver_rel4" localSheetId="1" hidden="1">3</definedName>
    <definedName name="solver_rel5" localSheetId="0" hidden="1">4</definedName>
    <definedName name="solver_rhs1" localSheetId="0" hidden="1">'Задача 5'!$B$13</definedName>
    <definedName name="solver_rhs1" localSheetId="1" hidden="1">"целое"</definedName>
    <definedName name="solver_rhs2" localSheetId="0" hidden="1">'Задача 5'!$C$13</definedName>
    <definedName name="solver_rhs2" localSheetId="1" hidden="1">'Задача 6'!$B$5</definedName>
    <definedName name="solver_rhs3" localSheetId="0" hidden="1">'Задача 5'!$D$13</definedName>
    <definedName name="solver_rhs3" localSheetId="1" hidden="1">'Задача 6'!$C$5</definedName>
    <definedName name="solver_rhs4" localSheetId="0" hidden="1">'Задача 5'!$E$13</definedName>
    <definedName name="solver_rhs4" localSheetId="1" hidden="1">'Задача 6'!$D$5</definedName>
    <definedName name="solver_rhs5" localSheetId="0" hidden="1">"целое"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D9" i="2"/>
  <c r="E9" i="2"/>
  <c r="F9" i="2"/>
  <c r="C9" i="2"/>
  <c r="F19" i="1"/>
  <c r="G17" i="1"/>
  <c r="G18" i="1"/>
  <c r="G16" i="1"/>
  <c r="B17" i="1"/>
  <c r="C17" i="1"/>
  <c r="D17" i="1"/>
  <c r="E17" i="1"/>
  <c r="B18" i="1"/>
  <c r="C18" i="1"/>
  <c r="D18" i="1"/>
  <c r="E18" i="1"/>
  <c r="C16" i="1"/>
  <c r="D16" i="1"/>
  <c r="E16" i="1"/>
  <c r="B16" i="1"/>
  <c r="C15" i="2" l="1"/>
  <c r="E15" i="2"/>
  <c r="F15" i="2"/>
  <c r="D15" i="2"/>
  <c r="G19" i="1"/>
  <c r="B19" i="1"/>
  <c r="E19" i="1"/>
  <c r="C19" i="1"/>
  <c r="D19" i="1"/>
</calcChain>
</file>

<file path=xl/sharedStrings.xml><?xml version="1.0" encoding="utf-8"?>
<sst xmlns="http://schemas.openxmlformats.org/spreadsheetml/2006/main" count="50" uniqueCount="28">
  <si>
    <t>Наименование изделия</t>
  </si>
  <si>
    <t>Стереосистема</t>
  </si>
  <si>
    <t>Телевизор</t>
  </si>
  <si>
    <t>Акустическая система</t>
  </si>
  <si>
    <t>Расход на 1 единицу</t>
  </si>
  <si>
    <t>Кинескоп</t>
  </si>
  <si>
    <t>Динамик</t>
  </si>
  <si>
    <t>Блок питания</t>
  </si>
  <si>
    <t>Плата</t>
  </si>
  <si>
    <t>Производство</t>
  </si>
  <si>
    <t>Количество</t>
  </si>
  <si>
    <t>Итого</t>
  </si>
  <si>
    <t>Прибыль</t>
  </si>
  <si>
    <t>На складе</t>
  </si>
  <si>
    <t>Деталь</t>
  </si>
  <si>
    <t>Цена</t>
  </si>
  <si>
    <t>Поставка 10м</t>
  </si>
  <si>
    <t>Заказ</t>
  </si>
  <si>
    <t>Кол-во</t>
  </si>
  <si>
    <t>5м</t>
  </si>
  <si>
    <t>4м</t>
  </si>
  <si>
    <t>3м</t>
  </si>
  <si>
    <t>Варианты распила</t>
  </si>
  <si>
    <t>остаток(м)</t>
  </si>
  <si>
    <t>Изготовление</t>
  </si>
  <si>
    <t>Вариант</t>
  </si>
  <si>
    <t>Остаток(м)</t>
  </si>
  <si>
    <t>Кол-во досок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</si>
</sst>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Fill="1" applyBorder="1"/>
    <xf numFmtId="0" fontId="0" fillId="0" borderId="12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/>
    <xf numFmtId="0" fontId="0" fillId="0" borderId="9" xfId="0" applyFill="1" applyBorder="1"/>
    <xf numFmtId="0" fontId="0" fillId="2" borderId="13" xfId="0" applyFill="1" applyBorder="1"/>
    <xf numFmtId="0" fontId="0" fillId="2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2" borderId="20" xfId="0" applyFill="1" applyBorder="1"/>
    <xf numFmtId="0" fontId="0" fillId="0" borderId="21" xfId="0" applyBorder="1"/>
    <xf numFmtId="0" fontId="0" fillId="3" borderId="22" xfId="0" applyFill="1" applyBorder="1"/>
    <xf numFmtId="0" fontId="0" fillId="3" borderId="14" xfId="0" applyFill="1" applyBorder="1"/>
    <xf numFmtId="0" fontId="0" fillId="3" borderId="19" xfId="0" applyFill="1" applyBorder="1"/>
    <xf numFmtId="0" fontId="0" fillId="2" borderId="23" xfId="0" applyFill="1" applyBorder="1"/>
    <xf numFmtId="0" fontId="0" fillId="0" borderId="24" xfId="0" applyFill="1" applyBorder="1"/>
    <xf numFmtId="0" fontId="0" fillId="4" borderId="9" xfId="0" applyFill="1" applyBorder="1"/>
    <xf numFmtId="0" fontId="0" fillId="4" borderId="12" xfId="0" applyFill="1" applyBorder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527A-F52B-48E9-BEB5-205A9BFD9C01}">
  <dimension ref="A1:G19"/>
  <sheetViews>
    <sheetView workbookViewId="0">
      <selection activeCell="G19" sqref="G19"/>
    </sheetView>
  </sheetViews>
  <sheetFormatPr defaultRowHeight="14.4" x14ac:dyDescent="0.3"/>
  <cols>
    <col min="1" max="1" width="21.33203125" bestFit="1" customWidth="1"/>
    <col min="2" max="5" width="12.77734375" customWidth="1"/>
    <col min="6" max="6" width="10.6640625" customWidth="1"/>
  </cols>
  <sheetData>
    <row r="1" spans="1:7" x14ac:dyDescent="0.3">
      <c r="A1" s="26" t="s">
        <v>0</v>
      </c>
      <c r="B1" s="17" t="s">
        <v>4</v>
      </c>
      <c r="C1" s="18"/>
      <c r="D1" s="18"/>
      <c r="E1" s="19"/>
    </row>
    <row r="2" spans="1:7" x14ac:dyDescent="0.3">
      <c r="A2" s="27"/>
      <c r="B2" s="20" t="s">
        <v>5</v>
      </c>
      <c r="C2" s="21" t="s">
        <v>6</v>
      </c>
      <c r="D2" s="21" t="s">
        <v>7</v>
      </c>
      <c r="E2" s="22" t="s">
        <v>8</v>
      </c>
    </row>
    <row r="3" spans="1:7" x14ac:dyDescent="0.3">
      <c r="A3" s="23" t="s">
        <v>1</v>
      </c>
      <c r="B3" s="6">
        <v>0</v>
      </c>
      <c r="C3" s="1">
        <v>2</v>
      </c>
      <c r="D3" s="1">
        <v>1</v>
      </c>
      <c r="E3" s="7">
        <v>6</v>
      </c>
    </row>
    <row r="4" spans="1:7" x14ac:dyDescent="0.3">
      <c r="A4" s="23" t="s">
        <v>2</v>
      </c>
      <c r="B4" s="6">
        <v>1</v>
      </c>
      <c r="C4" s="1">
        <v>2</v>
      </c>
      <c r="D4" s="1">
        <v>2</v>
      </c>
      <c r="E4" s="7">
        <v>8</v>
      </c>
    </row>
    <row r="5" spans="1:7" ht="15" thickBot="1" x14ac:dyDescent="0.35">
      <c r="A5" s="24" t="s">
        <v>3</v>
      </c>
      <c r="B5" s="8">
        <v>0</v>
      </c>
      <c r="C5" s="9">
        <v>5</v>
      </c>
      <c r="D5" s="9">
        <v>2</v>
      </c>
      <c r="E5" s="10">
        <v>4</v>
      </c>
    </row>
    <row r="6" spans="1:7" ht="15" thickBot="1" x14ac:dyDescent="0.35"/>
    <row r="7" spans="1:7" x14ac:dyDescent="0.3">
      <c r="A7" s="28" t="s">
        <v>0</v>
      </c>
      <c r="B7" s="16" t="s">
        <v>15</v>
      </c>
      <c r="C7" s="2"/>
      <c r="D7" s="2"/>
      <c r="E7" s="2"/>
      <c r="F7" s="2"/>
    </row>
    <row r="8" spans="1:7" x14ac:dyDescent="0.3">
      <c r="A8" s="20" t="s">
        <v>1</v>
      </c>
      <c r="B8" s="29">
        <v>50</v>
      </c>
      <c r="C8" s="2"/>
      <c r="D8" s="2"/>
      <c r="E8" s="2"/>
      <c r="F8" s="2"/>
    </row>
    <row r="9" spans="1:7" x14ac:dyDescent="0.3">
      <c r="A9" s="20" t="s">
        <v>2</v>
      </c>
      <c r="B9" s="29">
        <v>90</v>
      </c>
      <c r="C9" s="2"/>
      <c r="D9" s="2"/>
      <c r="E9" s="2"/>
      <c r="F9" s="2"/>
    </row>
    <row r="10" spans="1:7" ht="15" thickBot="1" x14ac:dyDescent="0.35">
      <c r="A10" s="25" t="s">
        <v>3</v>
      </c>
      <c r="B10" s="12">
        <v>45</v>
      </c>
      <c r="C10" s="2"/>
      <c r="D10" s="2"/>
      <c r="E10" s="2"/>
      <c r="F10" s="2"/>
    </row>
    <row r="11" spans="1:7" ht="15" thickBot="1" x14ac:dyDescent="0.35"/>
    <row r="12" spans="1:7" x14ac:dyDescent="0.3">
      <c r="A12" s="28" t="s">
        <v>14</v>
      </c>
      <c r="B12" s="15" t="s">
        <v>5</v>
      </c>
      <c r="C12" s="15" t="s">
        <v>6</v>
      </c>
      <c r="D12" s="15" t="s">
        <v>7</v>
      </c>
      <c r="E12" s="16" t="s">
        <v>8</v>
      </c>
    </row>
    <row r="13" spans="1:7" ht="15" thickBot="1" x14ac:dyDescent="0.35">
      <c r="A13" s="25" t="s">
        <v>13</v>
      </c>
      <c r="B13" s="11">
        <v>250</v>
      </c>
      <c r="C13" s="11">
        <v>800</v>
      </c>
      <c r="D13" s="11">
        <v>450</v>
      </c>
      <c r="E13" s="12">
        <v>600</v>
      </c>
    </row>
    <row r="14" spans="1:7" ht="15" thickBot="1" x14ac:dyDescent="0.35"/>
    <row r="15" spans="1:7" x14ac:dyDescent="0.3">
      <c r="A15" s="3" t="s">
        <v>9</v>
      </c>
      <c r="B15" s="14" t="s">
        <v>5</v>
      </c>
      <c r="C15" s="15" t="s">
        <v>6</v>
      </c>
      <c r="D15" s="15" t="s">
        <v>7</v>
      </c>
      <c r="E15" s="16" t="s">
        <v>8</v>
      </c>
      <c r="F15" s="30" t="s">
        <v>10</v>
      </c>
      <c r="G15" s="13" t="s">
        <v>12</v>
      </c>
    </row>
    <row r="16" spans="1:7" x14ac:dyDescent="0.3">
      <c r="A16" s="23" t="s">
        <v>1</v>
      </c>
      <c r="B16" s="6">
        <f>$F16*B3</f>
        <v>0</v>
      </c>
      <c r="C16" s="1">
        <f>$F16*C3</f>
        <v>0</v>
      </c>
      <c r="D16" s="1">
        <f>$F16*D3</f>
        <v>0</v>
      </c>
      <c r="E16" s="7">
        <f>$F16*E3</f>
        <v>0</v>
      </c>
      <c r="F16" s="39">
        <v>0</v>
      </c>
      <c r="G16" s="4">
        <f>F16*B8</f>
        <v>0</v>
      </c>
    </row>
    <row r="17" spans="1:7" x14ac:dyDescent="0.3">
      <c r="A17" s="23" t="s">
        <v>2</v>
      </c>
      <c r="B17" s="6">
        <f>$F17*B4</f>
        <v>62</v>
      </c>
      <c r="C17" s="1">
        <f>$F17*C4</f>
        <v>124</v>
      </c>
      <c r="D17" s="1">
        <f>$F17*D4</f>
        <v>124</v>
      </c>
      <c r="E17" s="7">
        <f>$F17*E4</f>
        <v>496</v>
      </c>
      <c r="F17" s="39">
        <v>62</v>
      </c>
      <c r="G17" s="4">
        <f t="shared" ref="G17:G18" si="0">F17*B9</f>
        <v>5580</v>
      </c>
    </row>
    <row r="18" spans="1:7" ht="15" thickBot="1" x14ac:dyDescent="0.35">
      <c r="A18" s="31" t="s">
        <v>3</v>
      </c>
      <c r="B18" s="32">
        <f>$F18*B5</f>
        <v>0</v>
      </c>
      <c r="C18" s="33">
        <f>$F18*C5</f>
        <v>130</v>
      </c>
      <c r="D18" s="33">
        <f>$F18*D5</f>
        <v>52</v>
      </c>
      <c r="E18" s="34">
        <f>$F18*E5</f>
        <v>104</v>
      </c>
      <c r="F18" s="40">
        <v>26</v>
      </c>
      <c r="G18" s="35">
        <f t="shared" si="0"/>
        <v>1170</v>
      </c>
    </row>
    <row r="19" spans="1:7" ht="15" thickBot="1" x14ac:dyDescent="0.35">
      <c r="A19" s="36" t="s">
        <v>11</v>
      </c>
      <c r="B19" s="37">
        <f>SUM(B16:B18)</f>
        <v>62</v>
      </c>
      <c r="C19" s="37">
        <f t="shared" ref="C19:E19" si="1">SUM(C16:C18)</f>
        <v>254</v>
      </c>
      <c r="D19" s="37">
        <f t="shared" si="1"/>
        <v>176</v>
      </c>
      <c r="E19" s="37">
        <f t="shared" si="1"/>
        <v>600</v>
      </c>
      <c r="F19" s="37">
        <f t="shared" ref="F19" si="2">SUM(F16:F18)</f>
        <v>88</v>
      </c>
      <c r="G19" s="38">
        <f t="shared" ref="G19" si="3">SUM(G16:G18)</f>
        <v>6750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C67A-6387-4B49-B698-5A39076590DD}">
  <dimension ref="A1:O15"/>
  <sheetViews>
    <sheetView tabSelected="1" workbookViewId="0">
      <selection activeCell="K18" sqref="K18"/>
    </sheetView>
  </sheetViews>
  <sheetFormatPr defaultRowHeight="14.4" x14ac:dyDescent="0.3"/>
  <cols>
    <col min="1" max="1" width="12.6640625" bestFit="1" customWidth="1"/>
    <col min="2" max="2" width="11.77734375" bestFit="1" customWidth="1"/>
    <col min="6" max="6" width="10.109375" bestFit="1" customWidth="1"/>
    <col min="11" max="11" width="16.77734375" bestFit="1" customWidth="1"/>
    <col min="15" max="15" width="9.77734375" bestFit="1" customWidth="1"/>
  </cols>
  <sheetData>
    <row r="1" spans="1:15" x14ac:dyDescent="0.3">
      <c r="A1" s="41" t="s">
        <v>16</v>
      </c>
      <c r="K1" s="5" t="s">
        <v>22</v>
      </c>
      <c r="L1" s="15" t="s">
        <v>19</v>
      </c>
      <c r="M1" s="15" t="s">
        <v>20</v>
      </c>
      <c r="N1" s="15" t="s">
        <v>21</v>
      </c>
      <c r="O1" s="16" t="s">
        <v>23</v>
      </c>
    </row>
    <row r="2" spans="1:15" ht="15" thickBot="1" x14ac:dyDescent="0.35">
      <c r="A2" s="42">
        <v>10</v>
      </c>
      <c r="K2" s="20">
        <v>1</v>
      </c>
      <c r="L2" s="1">
        <v>2</v>
      </c>
      <c r="M2" s="1">
        <v>0</v>
      </c>
      <c r="N2" s="1">
        <v>0</v>
      </c>
      <c r="O2" s="43">
        <v>0</v>
      </c>
    </row>
    <row r="3" spans="1:15" ht="15" thickBot="1" x14ac:dyDescent="0.35">
      <c r="K3" s="20">
        <v>2</v>
      </c>
      <c r="L3" s="1">
        <v>1</v>
      </c>
      <c r="M3" s="1">
        <v>1</v>
      </c>
      <c r="N3" s="1">
        <v>0</v>
      </c>
      <c r="O3" s="43">
        <v>1</v>
      </c>
    </row>
    <row r="4" spans="1:15" x14ac:dyDescent="0.3">
      <c r="A4" s="5" t="s">
        <v>17</v>
      </c>
      <c r="B4" s="15" t="s">
        <v>19</v>
      </c>
      <c r="C4" s="15" t="s">
        <v>20</v>
      </c>
      <c r="D4" s="16" t="s">
        <v>21</v>
      </c>
      <c r="K4" s="20">
        <v>3</v>
      </c>
      <c r="L4" s="1">
        <v>1</v>
      </c>
      <c r="M4" s="1">
        <v>0</v>
      </c>
      <c r="N4" s="1">
        <v>1</v>
      </c>
      <c r="O4" s="43">
        <v>2</v>
      </c>
    </row>
    <row r="5" spans="1:15" ht="15" thickBot="1" x14ac:dyDescent="0.35">
      <c r="A5" s="25" t="s">
        <v>18</v>
      </c>
      <c r="B5" s="9">
        <v>100</v>
      </c>
      <c r="C5" s="9">
        <v>200</v>
      </c>
      <c r="D5" s="10">
        <v>300</v>
      </c>
      <c r="K5" s="20">
        <v>4</v>
      </c>
      <c r="L5" s="1">
        <v>0</v>
      </c>
      <c r="M5" s="1">
        <v>2</v>
      </c>
      <c r="N5" s="1">
        <v>0</v>
      </c>
      <c r="O5" s="43">
        <v>2</v>
      </c>
    </row>
    <row r="6" spans="1:15" x14ac:dyDescent="0.3">
      <c r="K6" s="20">
        <v>5</v>
      </c>
      <c r="L6" s="1">
        <v>0</v>
      </c>
      <c r="M6" s="1">
        <v>1</v>
      </c>
      <c r="N6" s="1">
        <v>2</v>
      </c>
      <c r="O6" s="43">
        <v>0</v>
      </c>
    </row>
    <row r="7" spans="1:15" ht="15" thickBot="1" x14ac:dyDescent="0.35">
      <c r="A7" t="s">
        <v>24</v>
      </c>
      <c r="K7" s="20">
        <v>6</v>
      </c>
      <c r="L7" s="9">
        <v>0</v>
      </c>
      <c r="M7" s="9">
        <v>0</v>
      </c>
      <c r="N7" s="9">
        <v>3</v>
      </c>
      <c r="O7" s="44">
        <v>1</v>
      </c>
    </row>
    <row r="8" spans="1:15" x14ac:dyDescent="0.3">
      <c r="A8" t="s">
        <v>25</v>
      </c>
      <c r="B8" s="45" t="s">
        <v>27</v>
      </c>
      <c r="C8" s="45" t="s">
        <v>19</v>
      </c>
      <c r="D8" s="45" t="s">
        <v>20</v>
      </c>
      <c r="E8" s="45" t="s">
        <v>21</v>
      </c>
      <c r="F8" s="45" t="s">
        <v>26</v>
      </c>
    </row>
    <row r="9" spans="1:15" x14ac:dyDescent="0.3">
      <c r="A9" s="45">
        <v>1</v>
      </c>
      <c r="B9">
        <v>25</v>
      </c>
      <c r="C9">
        <f>$B9*L2</f>
        <v>50</v>
      </c>
      <c r="D9">
        <f t="shared" ref="D9:F9" si="0">$B9*M2</f>
        <v>0</v>
      </c>
      <c r="E9">
        <f t="shared" si="0"/>
        <v>0</v>
      </c>
      <c r="F9">
        <f t="shared" si="0"/>
        <v>0</v>
      </c>
    </row>
    <row r="10" spans="1:15" x14ac:dyDescent="0.3">
      <c r="A10" s="45">
        <v>2</v>
      </c>
      <c r="B10">
        <v>50</v>
      </c>
      <c r="C10">
        <f t="shared" ref="C10:C14" si="1">$B10*L3</f>
        <v>50</v>
      </c>
      <c r="D10">
        <f t="shared" ref="D10:D14" si="2">$B10*M3</f>
        <v>50</v>
      </c>
      <c r="E10">
        <f t="shared" ref="E10:E14" si="3">$B10*N3</f>
        <v>0</v>
      </c>
      <c r="F10">
        <f t="shared" ref="F10:F14" si="4">$B10*O3</f>
        <v>50</v>
      </c>
    </row>
    <row r="11" spans="1:15" x14ac:dyDescent="0.3">
      <c r="A11" s="45">
        <v>3</v>
      </c>
      <c r="B11">
        <v>0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0</v>
      </c>
    </row>
    <row r="12" spans="1:15" x14ac:dyDescent="0.3">
      <c r="A12" s="45">
        <v>4</v>
      </c>
      <c r="B12">
        <v>0</v>
      </c>
      <c r="C12">
        <f t="shared" si="1"/>
        <v>0</v>
      </c>
      <c r="D12">
        <f t="shared" si="2"/>
        <v>0</v>
      </c>
      <c r="E12">
        <f t="shared" si="3"/>
        <v>0</v>
      </c>
      <c r="F12">
        <f t="shared" si="4"/>
        <v>0</v>
      </c>
    </row>
    <row r="13" spans="1:15" x14ac:dyDescent="0.3">
      <c r="A13" s="45">
        <v>5</v>
      </c>
      <c r="B13">
        <v>150</v>
      </c>
      <c r="C13">
        <f t="shared" si="1"/>
        <v>0</v>
      </c>
      <c r="D13">
        <f t="shared" si="2"/>
        <v>150</v>
      </c>
      <c r="E13">
        <f t="shared" si="3"/>
        <v>300</v>
      </c>
      <c r="F13">
        <f t="shared" si="4"/>
        <v>0</v>
      </c>
    </row>
    <row r="14" spans="1:15" x14ac:dyDescent="0.3">
      <c r="A14" s="45">
        <v>6</v>
      </c>
      <c r="B14">
        <v>0</v>
      </c>
      <c r="C14">
        <f t="shared" si="1"/>
        <v>0</v>
      </c>
      <c r="D14">
        <f t="shared" si="2"/>
        <v>0</v>
      </c>
      <c r="E14">
        <f t="shared" si="3"/>
        <v>0</v>
      </c>
      <c r="F14">
        <f t="shared" si="4"/>
        <v>0</v>
      </c>
    </row>
    <row r="15" spans="1:15" x14ac:dyDescent="0.3">
      <c r="A15" t="s">
        <v>11</v>
      </c>
      <c r="B15" s="46">
        <f>SUM(B9:B14)</f>
        <v>225</v>
      </c>
      <c r="C15">
        <f t="shared" ref="C15:F15" si="5">SUM(C9:C14)</f>
        <v>100</v>
      </c>
      <c r="D15">
        <f t="shared" si="5"/>
        <v>200</v>
      </c>
      <c r="E15">
        <f t="shared" si="5"/>
        <v>300</v>
      </c>
      <c r="F15">
        <f t="shared" si="5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Швецов</dc:creator>
  <cp:lastModifiedBy>Максим Швецов</cp:lastModifiedBy>
  <dcterms:created xsi:type="dcterms:W3CDTF">2026-02-08T09:34:04Z</dcterms:created>
  <dcterms:modified xsi:type="dcterms:W3CDTF">2026-02-08T10:41:53Z</dcterms:modified>
</cp:coreProperties>
</file>