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<sst xmlns="http://schemas.openxmlformats.org/spreadsheetml/2006/main" count="23" uniqueCount="14">
  <si>
    <t xml:space="preserve">Сумма кредита</t>
  </si>
  <si>
    <t xml:space="preserve">Годовая ставка</t>
  </si>
  <si>
    <t xml:space="preserve">Срок (мес)</t>
  </si>
  <si>
    <t xml:space="preserve">Выплата</t>
  </si>
  <si>
    <t xml:space="preserve">Общая выплата</t>
  </si>
  <si>
    <t xml:space="preserve">Переплата</t>
  </si>
  <si>
    <t xml:space="preserve">Период</t>
  </si>
  <si>
    <t xml:space="preserve">Платёж</t>
  </si>
  <si>
    <t xml:space="preserve">На проценты</t>
  </si>
  <si>
    <t xml:space="preserve">На тело</t>
  </si>
  <si>
    <t xml:space="preserve">Доп платёж</t>
  </si>
  <si>
    <t xml:space="preserve">Остаток</t>
  </si>
  <si>
    <t xml:space="preserve">Выплата кредита</t>
  </si>
  <si>
    <t xml:space="preserve">Выплата процентов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</si>
</sst>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#,##0.00\ [$₽-419];[RED]\-#,##0.00\ [$₽-419]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S34"/>
  <sheetViews>
    <sheetView showFormulas="false" showGridLines="true" showRowColHeaders="true" showZeros="true" rightToLeft="false" tabSelected="true" showOutlineSymbols="true" defaultGridColor="true" view="normal" topLeftCell="H1" colorId="64" zoomScale="130" zoomScaleNormal="130" zoomScalePageLayoutView="100" workbookViewId="0">
      <selection pane="topLeft" activeCell="R18" activeCellId="0" sqref="R18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6.91"/>
    <col collapsed="false" customWidth="true" hidden="false" outlineLevel="0" max="3" min="3" style="0" width="19.1"/>
    <col collapsed="false" customWidth="true" hidden="false" outlineLevel="0" max="4" min="4" style="0" width="15.72"/>
    <col collapsed="false" customWidth="true" hidden="false" outlineLevel="0" max="5" min="5" style="0" width="11.71"/>
    <col collapsed="false" customWidth="true" hidden="false" outlineLevel="0" max="8" min="8" style="0" width="13.22"/>
    <col collapsed="false" customWidth="true" hidden="false" outlineLevel="0" max="12" min="12" style="0" width="13.22"/>
    <col collapsed="false" customWidth="true" hidden="false" outlineLevel="0" max="15" min="15" style="0" width="13.22"/>
    <col collapsed="false" customWidth="true" hidden="false" outlineLevel="0" max="19" min="19" style="0" width="13.22"/>
  </cols>
  <sheetData>
    <row r="2" customFormat="false" ht="12.8" hidden="false" customHeight="false" outlineLevel="0" collapsed="false">
      <c r="B2" s="0" t="s">
        <v>0</v>
      </c>
      <c r="C2" s="1" t="n">
        <v>1000000</v>
      </c>
    </row>
    <row r="3" customFormat="false" ht="12.8" hidden="false" customHeight="false" outlineLevel="0" collapsed="false">
      <c r="B3" s="0" t="s">
        <v>1</v>
      </c>
      <c r="C3" s="2" t="n">
        <v>0.12</v>
      </c>
    </row>
    <row r="4" customFormat="false" ht="12.8" hidden="false" customHeight="false" outlineLevel="0" collapsed="false">
      <c r="B4" s="0" t="s">
        <v>2</v>
      </c>
      <c r="C4" s="0" t="n">
        <v>12</v>
      </c>
    </row>
    <row r="6" customFormat="false" ht="12.8" hidden="false" customHeight="false" outlineLevel="0" collapsed="false">
      <c r="B6" s="0" t="s">
        <v>3</v>
      </c>
      <c r="C6" s="3" t="n">
        <f aca="false">PMT(C3/12,C4,C2,0,0)</f>
        <v>-88848.7886783417</v>
      </c>
    </row>
    <row r="7" customFormat="false" ht="12.8" hidden="false" customHeight="false" outlineLevel="0" collapsed="false">
      <c r="B7" s="0" t="s">
        <v>4</v>
      </c>
      <c r="C7" s="3" t="n">
        <f aca="false">C6*C4</f>
        <v>-1066185.4641401</v>
      </c>
    </row>
    <row r="8" customFormat="false" ht="12.8" hidden="false" customHeight="false" outlineLevel="0" collapsed="false">
      <c r="B8" s="0" t="s">
        <v>5</v>
      </c>
      <c r="C8" s="3" t="n">
        <f aca="false">C2+C7</f>
        <v>-66185.4641401006</v>
      </c>
    </row>
    <row r="9" customFormat="false" ht="12.8" hidden="false" customHeight="false" outlineLevel="0" collapsed="false">
      <c r="G9" s="4" t="s">
        <v>6</v>
      </c>
      <c r="H9" s="5" t="s">
        <v>7</v>
      </c>
      <c r="I9" s="5" t="s">
        <v>8</v>
      </c>
      <c r="J9" s="5" t="s">
        <v>9</v>
      </c>
      <c r="K9" s="5" t="s">
        <v>10</v>
      </c>
      <c r="L9" s="6" t="s">
        <v>11</v>
      </c>
      <c r="N9" s="7" t="s">
        <v>6</v>
      </c>
      <c r="O9" s="7" t="s">
        <v>7</v>
      </c>
      <c r="P9" s="7" t="s">
        <v>8</v>
      </c>
      <c r="Q9" s="7" t="s">
        <v>9</v>
      </c>
      <c r="R9" s="7" t="s">
        <v>10</v>
      </c>
      <c r="S9" s="7" t="s">
        <v>11</v>
      </c>
    </row>
    <row r="10" customFormat="false" ht="12.8" hidden="false" customHeight="false" outlineLevel="0" collapsed="false">
      <c r="A10" s="4" t="s">
        <v>6</v>
      </c>
      <c r="B10" s="5" t="s">
        <v>12</v>
      </c>
      <c r="C10" s="5" t="s">
        <v>13</v>
      </c>
      <c r="D10" s="5" t="s">
        <v>4</v>
      </c>
      <c r="E10" s="6" t="s">
        <v>11</v>
      </c>
      <c r="H10" s="3" t="n">
        <f aca="false">C2</f>
        <v>1000000</v>
      </c>
      <c r="I10" s="3"/>
      <c r="J10" s="3"/>
      <c r="K10" s="3"/>
      <c r="L10" s="3" t="n">
        <f aca="false">H10</f>
        <v>1000000</v>
      </c>
      <c r="O10" s="3" t="n">
        <v>1000000</v>
      </c>
      <c r="P10" s="3"/>
      <c r="Q10" s="3"/>
      <c r="R10" s="3"/>
      <c r="S10" s="3" t="n">
        <f aca="false">O10</f>
        <v>1000000</v>
      </c>
    </row>
    <row r="11" customFormat="false" ht="12.8" hidden="false" customHeight="false" outlineLevel="0" collapsed="false">
      <c r="A11" s="0" t="n">
        <v>1</v>
      </c>
      <c r="B11" s="3" t="n">
        <f aca="false">IF(A11&lt;=$C$4,PPMT($C$3/12,A11,$C$4,$C$2,0,0),0)</f>
        <v>-78848.7886783417</v>
      </c>
      <c r="C11" s="3" t="n">
        <f aca="false">IF(A11&lt;=$C$4,IPMT($C$3/12,A11,$C$4,$C$2,0,0),0)</f>
        <v>-10000</v>
      </c>
      <c r="D11" s="3" t="n">
        <f aca="false">B11+C11</f>
        <v>-88848.7886783417</v>
      </c>
      <c r="E11" s="3" t="n">
        <f aca="false">$C$2+SUM($B$11:B11)</f>
        <v>921151.211321658</v>
      </c>
      <c r="G11" s="0" t="n">
        <v>1</v>
      </c>
      <c r="H11" s="3" t="n">
        <f aca="false">C6</f>
        <v>-88848.7886783417</v>
      </c>
      <c r="I11" s="3" t="n">
        <f aca="false">-$C$3/12*L10</f>
        <v>-10000</v>
      </c>
      <c r="J11" s="3" t="n">
        <f aca="false">H11-I11</f>
        <v>-78848.7886783417</v>
      </c>
      <c r="K11" s="3"/>
      <c r="L11" s="3" t="n">
        <f aca="false">L10+J11+K11</f>
        <v>921151.211321658</v>
      </c>
      <c r="N11" s="0" t="n">
        <v>1</v>
      </c>
      <c r="O11" s="3" t="n">
        <f aca="false">C6</f>
        <v>-88848.7886783417</v>
      </c>
      <c r="P11" s="3" t="n">
        <f aca="false">-$C$3/12*S10</f>
        <v>-10000</v>
      </c>
      <c r="Q11" s="3" t="n">
        <f aca="false">O11-P11</f>
        <v>-78848.7886783417</v>
      </c>
      <c r="R11" s="3"/>
      <c r="S11" s="3" t="n">
        <f aca="false">S10+R11+Q11</f>
        <v>921151.211321658</v>
      </c>
    </row>
    <row r="12" customFormat="false" ht="12.8" hidden="false" customHeight="false" outlineLevel="0" collapsed="false">
      <c r="A12" s="0" t="n">
        <v>2</v>
      </c>
      <c r="B12" s="3" t="n">
        <f aca="false">IF(A12&lt;=$C$4,PPMT($C$3/12,A12,$C$4,$C$2,0,0),0)</f>
        <v>-79637.2765651251</v>
      </c>
      <c r="C12" s="3" t="n">
        <f aca="false">IF(A12&lt;=$C$4,IPMT($C$3/12,A12,$C$4,$C$2,0,0),0)</f>
        <v>-9211.51211321658</v>
      </c>
      <c r="D12" s="3" t="n">
        <f aca="false">B12+C12</f>
        <v>-88848.7886783417</v>
      </c>
      <c r="E12" s="3" t="n">
        <f aca="false">$C$2+SUM($B$11:B12)</f>
        <v>841513.934756533</v>
      </c>
      <c r="G12" s="0" t="n">
        <v>2</v>
      </c>
      <c r="H12" s="3" t="n">
        <f aca="false">IF(L11=0,0,IF(L11&lt;-$C$6,-L11+I12,H11))</f>
        <v>-88848.7886783417</v>
      </c>
      <c r="I12" s="3" t="n">
        <f aca="false">-$C$3/12*L11</f>
        <v>-9211.51211321658</v>
      </c>
      <c r="J12" s="3" t="n">
        <f aca="false">H12-I12</f>
        <v>-79637.2765651251</v>
      </c>
      <c r="K12" s="3"/>
      <c r="L12" s="3" t="n">
        <f aca="false">L11+J12+K12</f>
        <v>841513.934756533</v>
      </c>
      <c r="N12" s="0" t="n">
        <v>2</v>
      </c>
      <c r="O12" s="3" t="n">
        <f aca="false">IF(S11&gt;0,IF(R11&lt;0,PMT($C$3/12,$C$4-N11,S11),O11),0)</f>
        <v>-88848.7886783417</v>
      </c>
      <c r="P12" s="3" t="n">
        <f aca="false">-$C$3/12*S11</f>
        <v>-9211.51211321658</v>
      </c>
      <c r="Q12" s="3" t="n">
        <f aca="false">O12-P12</f>
        <v>-79637.2765651251</v>
      </c>
      <c r="R12" s="3"/>
      <c r="S12" s="3" t="n">
        <f aca="false">S11+R12+Q12</f>
        <v>841513.934756533</v>
      </c>
    </row>
    <row r="13" customFormat="false" ht="12.8" hidden="false" customHeight="false" outlineLevel="0" collapsed="false">
      <c r="A13" s="0" t="n">
        <v>3</v>
      </c>
      <c r="B13" s="3" t="n">
        <f aca="false">IF(A13&lt;=$C$4,PPMT($C$3/12,A13,$C$4,$C$2,0,0),0)</f>
        <v>-80433.6493307764</v>
      </c>
      <c r="C13" s="3" t="n">
        <f aca="false">IF(A13&lt;=$C$4,IPMT($C$3/12,A13,$C$4,$C$2,0,0),0)</f>
        <v>-8415.13934756533</v>
      </c>
      <c r="D13" s="3" t="n">
        <f aca="false">B13+C13</f>
        <v>-88848.7886783417</v>
      </c>
      <c r="E13" s="3" t="n">
        <f aca="false">$C$2+SUM($B$11:B13)</f>
        <v>761080.285425757</v>
      </c>
      <c r="G13" s="0" t="n">
        <v>3</v>
      </c>
      <c r="H13" s="3" t="n">
        <f aca="false">IF(L12=0,0,IF(L12&lt;-$C$6,-L12+I13,H12))</f>
        <v>-88848.7886783417</v>
      </c>
      <c r="I13" s="3" t="n">
        <f aca="false">-$C$3/12*L12</f>
        <v>-8415.13934756533</v>
      </c>
      <c r="J13" s="3" t="n">
        <f aca="false">H13-I13</f>
        <v>-80433.6493307764</v>
      </c>
      <c r="K13" s="3"/>
      <c r="L13" s="3" t="n">
        <f aca="false">L12+J13+K13</f>
        <v>761080.285425757</v>
      </c>
      <c r="N13" s="0" t="n">
        <v>3</v>
      </c>
      <c r="O13" s="3" t="n">
        <f aca="false">IF(S12&gt;0,IF(R12&lt;0,PMT($C$3/12,$C$4-N12,S12),O12),0)</f>
        <v>-88848.7886783417</v>
      </c>
      <c r="P13" s="3" t="n">
        <f aca="false">-$C$3/12*S12</f>
        <v>-8415.13934756533</v>
      </c>
      <c r="Q13" s="3" t="n">
        <f aca="false">O13-P13</f>
        <v>-80433.6493307764</v>
      </c>
      <c r="R13" s="3" t="n">
        <v>-100000</v>
      </c>
      <c r="S13" s="3" t="n">
        <f aca="false">S12+R13+Q13</f>
        <v>661080.285425757</v>
      </c>
    </row>
    <row r="14" customFormat="false" ht="12.8" hidden="false" customHeight="false" outlineLevel="0" collapsed="false">
      <c r="A14" s="0" t="n">
        <v>4</v>
      </c>
      <c r="B14" s="3" t="n">
        <f aca="false">IF(A14&lt;=$C$4,PPMT($C$3/12,A14,$C$4,$C$2,0,0),0)</f>
        <v>-81237.9858240842</v>
      </c>
      <c r="C14" s="3" t="n">
        <f aca="false">IF(A14&lt;=$C$4,IPMT($C$3/12,A14,$C$4,$C$2,0,0),0)</f>
        <v>-7610.80285425756</v>
      </c>
      <c r="D14" s="3" t="n">
        <f aca="false">B14+C14</f>
        <v>-88848.7886783417</v>
      </c>
      <c r="E14" s="3" t="n">
        <f aca="false">$C$2+SUM($B$11:B14)</f>
        <v>679842.299601673</v>
      </c>
      <c r="G14" s="0" t="n">
        <v>4</v>
      </c>
      <c r="H14" s="3" t="n">
        <f aca="false">IF(L13=0,0,IF(L13&lt;-$C$6,-L13+I14,H13))</f>
        <v>-88848.7886783417</v>
      </c>
      <c r="I14" s="3" t="n">
        <f aca="false">-$C$3/12*L13</f>
        <v>-7610.80285425757</v>
      </c>
      <c r="J14" s="3" t="n">
        <f aca="false">H14-I14</f>
        <v>-81237.9858240842</v>
      </c>
      <c r="K14" s="3" t="n">
        <v>-300000</v>
      </c>
      <c r="L14" s="3" t="n">
        <f aca="false">L13+J14+K14</f>
        <v>379842.299601673</v>
      </c>
      <c r="N14" s="0" t="n">
        <v>4</v>
      </c>
      <c r="O14" s="3" t="n">
        <f aca="false">IF(S13&gt;0,IF(R13&lt;0,PMT($C$3/12,$C$4-N13,S13),O13),0)</f>
        <v>-77174.7523933736</v>
      </c>
      <c r="P14" s="3" t="n">
        <f aca="false">-$C$3/12*S13</f>
        <v>-6610.80285425757</v>
      </c>
      <c r="Q14" s="3" t="n">
        <f aca="false">O14-P14</f>
        <v>-70563.949539116</v>
      </c>
      <c r="R14" s="3"/>
      <c r="S14" s="3" t="n">
        <f aca="false">S13+R14+Q14</f>
        <v>590516.335886641</v>
      </c>
    </row>
    <row r="15" customFormat="false" ht="12.8" hidden="false" customHeight="false" outlineLevel="0" collapsed="false">
      <c r="A15" s="0" t="n">
        <v>5</v>
      </c>
      <c r="B15" s="3" t="n">
        <f aca="false">IF(A15&lt;=$C$4,PPMT($C$3/12,A15,$C$4,$C$2,0,0),0)</f>
        <v>-82050.365682325</v>
      </c>
      <c r="C15" s="3" t="n">
        <f aca="false">IF(A15&lt;=$C$4,IPMT($C$3/12,A15,$C$4,$C$2,0,0),0)</f>
        <v>-6798.42299601673</v>
      </c>
      <c r="D15" s="3" t="n">
        <f aca="false">B15+C15</f>
        <v>-88848.7886783417</v>
      </c>
      <c r="E15" s="3" t="n">
        <f aca="false">$C$2+SUM($B$11:B15)</f>
        <v>597791.933919348</v>
      </c>
      <c r="G15" s="0" t="n">
        <v>5</v>
      </c>
      <c r="H15" s="3" t="n">
        <f aca="false">IF(L14=0,0,IF(L14&lt;-$C$6,-L14+I15,H14))</f>
        <v>-88848.7886783417</v>
      </c>
      <c r="I15" s="3" t="n">
        <f aca="false">-$C$3/12*L14</f>
        <v>-3798.42299601673</v>
      </c>
      <c r="J15" s="3" t="n">
        <f aca="false">H15-I15</f>
        <v>-85050.365682325</v>
      </c>
      <c r="K15" s="3"/>
      <c r="L15" s="3" t="n">
        <f aca="false">L14+J15+K15</f>
        <v>294791.933919348</v>
      </c>
      <c r="N15" s="0" t="n">
        <v>5</v>
      </c>
      <c r="O15" s="3" t="n">
        <f aca="false">IF(S14&gt;0,IF(R14&lt;0,PMT($C$3/12,$C$4-N14,S14),O14),0)</f>
        <v>-77174.7523933736</v>
      </c>
      <c r="P15" s="3" t="n">
        <f aca="false">-$C$3/12*S14</f>
        <v>-5905.16335886641</v>
      </c>
      <c r="Q15" s="3" t="n">
        <f aca="false">O15-P15</f>
        <v>-71269.5890345072</v>
      </c>
      <c r="R15" s="3"/>
      <c r="S15" s="3" t="n">
        <f aca="false">S14+R15+Q15</f>
        <v>519246.746852134</v>
      </c>
    </row>
    <row r="16" customFormat="false" ht="12.8" hidden="false" customHeight="false" outlineLevel="0" collapsed="false">
      <c r="A16" s="0" t="n">
        <v>6</v>
      </c>
      <c r="B16" s="3" t="n">
        <f aca="false">IF(A16&lt;=$C$4,PPMT($C$3/12,A16,$C$4,$C$2,0,0),0)</f>
        <v>-82870.8693391483</v>
      </c>
      <c r="C16" s="3" t="n">
        <f aca="false">IF(A16&lt;=$C$4,IPMT($C$3/12,A16,$C$4,$C$2,0,0),0)</f>
        <v>-5977.91933919346</v>
      </c>
      <c r="D16" s="3" t="n">
        <f aca="false">B16+C16</f>
        <v>-88848.7886783417</v>
      </c>
      <c r="E16" s="3" t="n">
        <f aca="false">$C$2+SUM($B$11:B16)</f>
        <v>514921.064580199</v>
      </c>
      <c r="G16" s="0" t="n">
        <v>6</v>
      </c>
      <c r="H16" s="3" t="n">
        <f aca="false">IF(L15=0,0,IF(L15&lt;-$C$6,-L15+I16,H15))</f>
        <v>-88848.7886783417</v>
      </c>
      <c r="I16" s="3" t="n">
        <f aca="false">-$C$3/12*L15</f>
        <v>-2947.91933919348</v>
      </c>
      <c r="J16" s="3" t="n">
        <f aca="false">H16-I16</f>
        <v>-85900.8693391482</v>
      </c>
      <c r="K16" s="3"/>
      <c r="L16" s="3" t="n">
        <f aca="false">L15+J16+K16</f>
        <v>208891.064580199</v>
      </c>
      <c r="N16" s="0" t="n">
        <v>6</v>
      </c>
      <c r="O16" s="3" t="n">
        <f aca="false">IF(S15&gt;0,IF(R15&lt;0,PMT($C$3/12,$C$4-N15,S15),O15),0)</f>
        <v>-77174.7523933736</v>
      </c>
      <c r="P16" s="3" t="n">
        <f aca="false">-$C$3/12*S15</f>
        <v>-5192.46746852134</v>
      </c>
      <c r="Q16" s="3" t="n">
        <f aca="false">O16-P16</f>
        <v>-71982.2849248523</v>
      </c>
      <c r="R16" s="3"/>
      <c r="S16" s="3" t="n">
        <f aca="false">S15+R16+Q16</f>
        <v>447264.461927281</v>
      </c>
    </row>
    <row r="17" customFormat="false" ht="12.8" hidden="false" customHeight="false" outlineLevel="0" collapsed="false">
      <c r="A17" s="0" t="n">
        <v>7</v>
      </c>
      <c r="B17" s="3" t="n">
        <f aca="false">IF(A17&lt;=$C$4,PPMT($C$3/12,A17,$C$4,$C$2,0,0),0)</f>
        <v>-83699.5780325397</v>
      </c>
      <c r="C17" s="3" t="n">
        <f aca="false">IF(A17&lt;=$C$4,IPMT($C$3/12,A17,$C$4,$C$2,0,0),0)</f>
        <v>-5149.21064580198</v>
      </c>
      <c r="D17" s="3" t="n">
        <f aca="false">B17+C17</f>
        <v>-88848.7886783417</v>
      </c>
      <c r="E17" s="3" t="n">
        <f aca="false">$C$2+SUM($B$11:B17)</f>
        <v>431221.48654766</v>
      </c>
      <c r="G17" s="0" t="n">
        <v>7</v>
      </c>
      <c r="H17" s="3" t="n">
        <f aca="false">IF(L16=0,0,IF(L16&lt;-$C$6,-L16+I17,H16))</f>
        <v>-88848.7886783417</v>
      </c>
      <c r="I17" s="3" t="n">
        <f aca="false">-$C$3/12*L16</f>
        <v>-2088.91064580199</v>
      </c>
      <c r="J17" s="3" t="n">
        <f aca="false">H17-I17</f>
        <v>-86759.8780325397</v>
      </c>
      <c r="K17" s="3"/>
      <c r="L17" s="3" t="n">
        <f aca="false">L16+J17+K17</f>
        <v>122131.18654766</v>
      </c>
      <c r="N17" s="0" t="n">
        <v>7</v>
      </c>
      <c r="O17" s="3" t="n">
        <f aca="false">IF(S16&gt;0,IF(R16&lt;0,PMT($C$3/12,$C$4-N16,S16),O16),0)</f>
        <v>-77174.7523933736</v>
      </c>
      <c r="P17" s="3" t="n">
        <f aca="false">-$C$3/12*S16</f>
        <v>-4472.64461927281</v>
      </c>
      <c r="Q17" s="3" t="n">
        <f aca="false">O17-P17</f>
        <v>-72702.1077741008</v>
      </c>
      <c r="R17" s="3" t="n">
        <v>-200000</v>
      </c>
      <c r="S17" s="3" t="n">
        <f aca="false">S16+R17+Q17</f>
        <v>174562.354153181</v>
      </c>
    </row>
    <row r="18" customFormat="false" ht="12.8" hidden="false" customHeight="false" outlineLevel="0" collapsed="false">
      <c r="A18" s="0" t="n">
        <v>8</v>
      </c>
      <c r="B18" s="3" t="n">
        <f aca="false">IF(A18&lt;=$C$4,PPMT($C$3/12,A18,$C$4,$C$2,0,0),0)</f>
        <v>-84536.5738128651</v>
      </c>
      <c r="C18" s="3" t="n">
        <f aca="false">IF(A18&lt;=$C$4,IPMT($C$3/12,A18,$C$4,$C$2,0,0),0)</f>
        <v>-4312.21486547659</v>
      </c>
      <c r="D18" s="3" t="n">
        <f aca="false">B18+C18</f>
        <v>-88848.7886783417</v>
      </c>
      <c r="E18" s="3" t="n">
        <f aca="false">$C$2+SUM($B$11:B18)</f>
        <v>346684.912734794</v>
      </c>
      <c r="G18" s="0" t="n">
        <v>8</v>
      </c>
      <c r="H18" s="3" t="n">
        <f aca="false">IF(L17=0,0,IF(L17&lt;-$C$6,-L17+I18,H17))</f>
        <v>-88848.7886783417</v>
      </c>
      <c r="I18" s="3" t="n">
        <f aca="false">-$C$3/12*L17</f>
        <v>-1221.3118654766</v>
      </c>
      <c r="J18" s="3" t="n">
        <f aca="false">H18-I18</f>
        <v>-87627.4768128651</v>
      </c>
      <c r="K18" s="3"/>
      <c r="L18" s="3" t="n">
        <f aca="false">L17+J18+K18</f>
        <v>34503.7097347945</v>
      </c>
      <c r="N18" s="0" t="n">
        <v>8</v>
      </c>
      <c r="O18" s="3" t="n">
        <f aca="false">IF(S17&gt;0,IF(R17&lt;0,PMT($C$3/12,$C$4-N17,S17),O17),0)</f>
        <v>-35966.7924701976</v>
      </c>
      <c r="P18" s="3" t="n">
        <f aca="false">-$C$3/12*S17</f>
        <v>-1745.62354153181</v>
      </c>
      <c r="Q18" s="3" t="n">
        <f aca="false">O18-P18</f>
        <v>-34221.1689286658</v>
      </c>
      <c r="R18" s="3"/>
      <c r="S18" s="3" t="n">
        <f aca="false">S17+R18+Q18</f>
        <v>140341.185224515</v>
      </c>
    </row>
    <row r="19" customFormat="false" ht="12.8" hidden="false" customHeight="false" outlineLevel="0" collapsed="false">
      <c r="A19" s="0" t="n">
        <v>9</v>
      </c>
      <c r="B19" s="3" t="n">
        <f aca="false">IF(A19&lt;=$C$4,PPMT($C$3/12,A19,$C$4,$C$2,0,0),0)</f>
        <v>-85381.9395509938</v>
      </c>
      <c r="C19" s="3" t="n">
        <f aca="false">IF(A19&lt;=$C$4,IPMT($C$3/12,A19,$C$4,$C$2,0,0),0)</f>
        <v>-3466.84912734794</v>
      </c>
      <c r="D19" s="3" t="n">
        <f aca="false">B19+C19</f>
        <v>-88848.7886783417</v>
      </c>
      <c r="E19" s="3" t="n">
        <f aca="false">$C$2+SUM($B$11:B19)</f>
        <v>261302.973183801</v>
      </c>
      <c r="G19" s="0" t="n">
        <v>9</v>
      </c>
      <c r="H19" s="3" t="n">
        <f aca="false">IF(L18=0,0,IF(L18&lt;-$C$6,-L18+I19,H18))</f>
        <v>-34848.7468321425</v>
      </c>
      <c r="I19" s="3" t="n">
        <f aca="false">-$C$3/12*L18</f>
        <v>-345.037097347945</v>
      </c>
      <c r="J19" s="3" t="n">
        <f aca="false">H19-I19</f>
        <v>-34503.7097347945</v>
      </c>
      <c r="K19" s="3"/>
      <c r="L19" s="3" t="n">
        <f aca="false">L18+J19+K19</f>
        <v>0</v>
      </c>
      <c r="N19" s="0" t="n">
        <v>9</v>
      </c>
      <c r="O19" s="3" t="n">
        <f aca="false">IF(S18&gt;0,IF(R18&lt;0,PMT($C$3/12,$C$4-N18,S18),O18),0)</f>
        <v>-35966.7924701976</v>
      </c>
      <c r="P19" s="3" t="n">
        <f aca="false">-$C$3/12*S18</f>
        <v>-1403.41185224515</v>
      </c>
      <c r="Q19" s="3" t="n">
        <f aca="false">O19-P19</f>
        <v>-34563.3806179524</v>
      </c>
      <c r="R19" s="3"/>
      <c r="S19" s="3" t="n">
        <f aca="false">S18+R19+Q19</f>
        <v>105777.804606562</v>
      </c>
    </row>
    <row r="20" customFormat="false" ht="12.8" hidden="false" customHeight="false" outlineLevel="0" collapsed="false">
      <c r="A20" s="0" t="n">
        <v>10</v>
      </c>
      <c r="B20" s="3" t="n">
        <f aca="false">IF(A20&lt;=$C$4,PPMT($C$3/12,A20,$C$4,$C$2,0,0),0)</f>
        <v>-86235.7589465037</v>
      </c>
      <c r="C20" s="3" t="n">
        <f aca="false">IF(A20&lt;=$C$4,IPMT($C$3/12,A20,$C$4,$C$2,0,0),0)</f>
        <v>-2613.02973183801</v>
      </c>
      <c r="D20" s="3" t="n">
        <f aca="false">B20+C20</f>
        <v>-88848.7886783417</v>
      </c>
      <c r="E20" s="3" t="n">
        <f aca="false">$C$2+SUM($B$11:B20)</f>
        <v>175067.214237297</v>
      </c>
      <c r="G20" s="0" t="n">
        <v>10</v>
      </c>
      <c r="H20" s="3" t="n">
        <f aca="false">IF(L19=0,0,IF(L19&lt;-$C$6,-L19+I20,H19))</f>
        <v>0</v>
      </c>
      <c r="I20" s="3" t="n">
        <f aca="false">-$C$3/12*L19</f>
        <v>-0</v>
      </c>
      <c r="J20" s="3" t="n">
        <f aca="false">H20-I20</f>
        <v>0</v>
      </c>
      <c r="K20" s="3"/>
      <c r="L20" s="3" t="n">
        <f aca="false">L19+J20+K20</f>
        <v>0</v>
      </c>
      <c r="N20" s="0" t="n">
        <v>10</v>
      </c>
      <c r="O20" s="3" t="n">
        <f aca="false">IF(S19&gt;0,IF(R19&lt;0,PMT($C$3/12,$C$4-N19,S19),O19),0)</f>
        <v>-35966.7924701976</v>
      </c>
      <c r="P20" s="3" t="n">
        <f aca="false">-$C$3/12*S19</f>
        <v>-1057.77804606562</v>
      </c>
      <c r="Q20" s="3" t="n">
        <f aca="false">O20-P20</f>
        <v>-34909.014424132</v>
      </c>
      <c r="R20" s="3"/>
      <c r="S20" s="3" t="n">
        <f aca="false">S19+R20+Q20</f>
        <v>70868.7901824303</v>
      </c>
    </row>
    <row r="21" customFormat="false" ht="12.8" hidden="false" customHeight="false" outlineLevel="0" collapsed="false">
      <c r="A21" s="0" t="n">
        <v>11</v>
      </c>
      <c r="B21" s="3" t="n">
        <f aca="false">IF(A21&lt;=$C$4,PPMT($C$3/12,A21,$C$4,$C$2,0,0),0)</f>
        <v>-87098.1165359687</v>
      </c>
      <c r="C21" s="3" t="n">
        <f aca="false">IF(A21&lt;=$C$4,IPMT($C$3/12,A21,$C$4,$C$2,0,0),0)</f>
        <v>-1750.67214237297</v>
      </c>
      <c r="D21" s="3" t="n">
        <f aca="false">B21+C21</f>
        <v>-88848.7886783417</v>
      </c>
      <c r="E21" s="3" t="n">
        <f aca="false">$C$2+SUM($B$11:B21)</f>
        <v>87969.0977013282</v>
      </c>
      <c r="G21" s="0" t="n">
        <v>11</v>
      </c>
      <c r="H21" s="3" t="n">
        <f aca="false">IF(L20=0,0,IF(L20&lt;-$C$6,-L20+I21,H20))</f>
        <v>0</v>
      </c>
      <c r="I21" s="3" t="n">
        <f aca="false">-$C$3/12*L20</f>
        <v>-0</v>
      </c>
      <c r="J21" s="3" t="n">
        <f aca="false">H21-I21</f>
        <v>0</v>
      </c>
      <c r="K21" s="3"/>
      <c r="L21" s="3" t="n">
        <f aca="false">L20+J21+K21</f>
        <v>0</v>
      </c>
      <c r="N21" s="0" t="n">
        <v>11</v>
      </c>
      <c r="O21" s="3" t="n">
        <f aca="false">IF(S20&gt;0,IF(R20&lt;0,PMT($C$3/12,$C$4-N20,S20),O20),0)</f>
        <v>-35966.7924701976</v>
      </c>
      <c r="P21" s="3" t="n">
        <f aca="false">-$C$3/12*S20</f>
        <v>-708.687901824303</v>
      </c>
      <c r="Q21" s="3" t="n">
        <f aca="false">O21-P21</f>
        <v>-35258.1045683733</v>
      </c>
      <c r="R21" s="3"/>
      <c r="S21" s="3" t="n">
        <f aca="false">S20+R21+Q21</f>
        <v>35610.6856140571</v>
      </c>
    </row>
    <row r="22" customFormat="false" ht="12.8" hidden="false" customHeight="false" outlineLevel="0" collapsed="false">
      <c r="A22" s="0" t="n">
        <v>12</v>
      </c>
      <c r="B22" s="3" t="n">
        <f aca="false">IF(A22&lt;=$C$4,PPMT($C$3/12,A22,$C$4,$C$2,0,0),0)</f>
        <v>-87969.0977013284</v>
      </c>
      <c r="C22" s="3" t="n">
        <f aca="false">IF(A22&lt;=$C$4,IPMT($C$3/12,A22,$C$4,$C$2,0,0),0)</f>
        <v>-879.690977013282</v>
      </c>
      <c r="D22" s="3" t="n">
        <f aca="false">B22+C22</f>
        <v>-88848.7886783417</v>
      </c>
      <c r="E22" s="3" t="n">
        <f aca="false">$C$2+SUM($B$11:B22)</f>
        <v>0</v>
      </c>
      <c r="G22" s="0" t="n">
        <v>12</v>
      </c>
      <c r="H22" s="3" t="n">
        <f aca="false">IF(L21=0,0,IF(L21&lt;-$C$6,-L21+I22,H21))</f>
        <v>0</v>
      </c>
      <c r="I22" s="3" t="n">
        <f aca="false">-$C$3/12*L21</f>
        <v>-0</v>
      </c>
      <c r="J22" s="3" t="n">
        <f aca="false">H22-I22</f>
        <v>0</v>
      </c>
      <c r="K22" s="3"/>
      <c r="L22" s="3" t="n">
        <f aca="false">L21+J22+K22</f>
        <v>0</v>
      </c>
      <c r="N22" s="0" t="n">
        <v>12</v>
      </c>
      <c r="O22" s="3" t="n">
        <f aca="false">IF(S21&gt;0,IF(R21&lt;0,PMT($C$3/12,$C$4-N21,S21),O21),0)</f>
        <v>-35966.7924701976</v>
      </c>
      <c r="P22" s="3" t="n">
        <f aca="false">-$C$3/12*S21</f>
        <v>-356.106856140571</v>
      </c>
      <c r="Q22" s="3" t="n">
        <f aca="false">O22-P22</f>
        <v>-35610.685614057</v>
      </c>
      <c r="R22" s="3"/>
      <c r="S22" s="3" t="n">
        <f aca="false">S21+R22+Q22</f>
        <v>0</v>
      </c>
    </row>
    <row r="23" customFormat="false" ht="12.8" hidden="false" customHeight="false" outlineLevel="0" collapsed="false">
      <c r="A23" s="0" t="n">
        <v>13</v>
      </c>
      <c r="B23" s="3" t="n">
        <f aca="false">IF(A23&lt;=$C$4,PPMT($C$3/12,A23,$C$4,$C$2,0,0),0)</f>
        <v>0</v>
      </c>
      <c r="C23" s="3" t="n">
        <f aca="false">IF(A23&lt;=$C$4,IPMT($C$3/12,A23,$C$4,$C$2,0,0),0)</f>
        <v>0</v>
      </c>
      <c r="D23" s="3" t="n">
        <f aca="false">B23+C23</f>
        <v>0</v>
      </c>
      <c r="E23" s="3" t="n">
        <f aca="false">$C$2+SUM($B$11:B23)</f>
        <v>0</v>
      </c>
      <c r="G23" s="0" t="n">
        <v>13</v>
      </c>
      <c r="H23" s="3" t="n">
        <f aca="false">IF(L22=0,0,IF(L22&lt;-$C$6,-L22+I23,H22))</f>
        <v>0</v>
      </c>
      <c r="I23" s="3" t="n">
        <f aca="false">-$C$3/12*L22</f>
        <v>-0</v>
      </c>
      <c r="J23" s="3" t="n">
        <f aca="false">H23-I23</f>
        <v>0</v>
      </c>
      <c r="K23" s="3"/>
      <c r="L23" s="3" t="n">
        <f aca="false">L22+J23+K23</f>
        <v>0</v>
      </c>
      <c r="N23" s="0" t="n">
        <v>13</v>
      </c>
      <c r="O23" s="3" t="n">
        <f aca="false">IF(S22&gt;0,IF(R22&lt;0,PMT($C$3/12,$C$4-N22,S22),O22),0)</f>
        <v>0</v>
      </c>
      <c r="P23" s="3" t="n">
        <f aca="false">-$C$3/12*S22</f>
        <v>-0</v>
      </c>
      <c r="Q23" s="3" t="n">
        <f aca="false">O23-P23</f>
        <v>0</v>
      </c>
      <c r="R23" s="3"/>
      <c r="S23" s="3" t="n">
        <f aca="false">S22+R23+Q23</f>
        <v>0</v>
      </c>
    </row>
    <row r="24" customFormat="false" ht="12.8" hidden="false" customHeight="false" outlineLevel="0" collapsed="false">
      <c r="A24" s="0" t="n">
        <v>14</v>
      </c>
      <c r="B24" s="3" t="n">
        <f aca="false">IF(A24&lt;=$C$4,PPMT($C$3/12,A24,$C$4,$C$2,0,0),0)</f>
        <v>0</v>
      </c>
      <c r="C24" s="3" t="n">
        <f aca="false">IF(A24&lt;=$C$4,IPMT($C$3/12,A24,$C$4,$C$2,0,0),0)</f>
        <v>0</v>
      </c>
      <c r="D24" s="3" t="n">
        <f aca="false">B24+C24</f>
        <v>0</v>
      </c>
      <c r="E24" s="3" t="n">
        <f aca="false">$C$2+SUM($B$11:B24)</f>
        <v>0</v>
      </c>
      <c r="G24" s="0" t="n">
        <v>14</v>
      </c>
      <c r="H24" s="3" t="n">
        <f aca="false">IF(L23=0,0,IF(L23&lt;-$C$6,-L23+I24,H23))</f>
        <v>0</v>
      </c>
      <c r="I24" s="3" t="n">
        <f aca="false">-$C$3/12*L23</f>
        <v>-0</v>
      </c>
      <c r="J24" s="3" t="n">
        <f aca="false">H24-I24</f>
        <v>0</v>
      </c>
      <c r="K24" s="3"/>
      <c r="L24" s="3" t="n">
        <f aca="false">L23+J24+K24</f>
        <v>0</v>
      </c>
      <c r="N24" s="0" t="n">
        <v>14</v>
      </c>
      <c r="O24" s="3" t="n">
        <f aca="false">IF(S23&gt;0,IF(R23&lt;0,PMT($C$3/12,$C$4-N23,S23),O23),0)</f>
        <v>0</v>
      </c>
      <c r="P24" s="3" t="n">
        <f aca="false">-$C$3/12*S23</f>
        <v>-0</v>
      </c>
      <c r="Q24" s="3" t="n">
        <f aca="false">O24-P24</f>
        <v>0</v>
      </c>
      <c r="R24" s="3"/>
      <c r="S24" s="3" t="n">
        <f aca="false">S23+R24+Q24</f>
        <v>0</v>
      </c>
    </row>
    <row r="25" customFormat="false" ht="12.8" hidden="false" customHeight="false" outlineLevel="0" collapsed="false">
      <c r="A25" s="0" t="n">
        <v>15</v>
      </c>
      <c r="B25" s="3" t="n">
        <f aca="false">IF(A25&lt;=$C$4,PPMT($C$3/12,A25,$C$4,$C$2,0,0),0)</f>
        <v>0</v>
      </c>
      <c r="C25" s="3" t="n">
        <f aca="false">IF(A25&lt;=$C$4,IPMT($C$3/12,A25,$C$4,$C$2,0,0),0)</f>
        <v>0</v>
      </c>
      <c r="D25" s="3" t="n">
        <f aca="false">B25+C25</f>
        <v>0</v>
      </c>
      <c r="E25" s="3" t="n">
        <f aca="false">$C$2+SUM($B$11:B25)</f>
        <v>0</v>
      </c>
      <c r="G25" s="0" t="n">
        <v>15</v>
      </c>
      <c r="H25" s="3" t="n">
        <f aca="false">IF(L24=0,0,IF(L24&lt;-$C$6,-L24+I25,H24))</f>
        <v>0</v>
      </c>
      <c r="I25" s="3" t="n">
        <f aca="false">-$C$3/12*L24</f>
        <v>-0</v>
      </c>
      <c r="J25" s="3" t="n">
        <f aca="false">H25-I25</f>
        <v>0</v>
      </c>
      <c r="K25" s="3"/>
      <c r="L25" s="3" t="n">
        <f aca="false">L24+J25+K25</f>
        <v>0</v>
      </c>
      <c r="N25" s="0" t="n">
        <v>15</v>
      </c>
      <c r="O25" s="3" t="n">
        <f aca="false">IF(S24&gt;0,IF(R24&lt;0,PMT($C$3/12,$C$4-N24,S24),O24),0)</f>
        <v>0</v>
      </c>
      <c r="P25" s="3" t="n">
        <f aca="false">-$C$3/12*S24</f>
        <v>-0</v>
      </c>
      <c r="Q25" s="3" t="n">
        <f aca="false">O25-P25</f>
        <v>0</v>
      </c>
      <c r="R25" s="3"/>
      <c r="S25" s="3" t="n">
        <f aca="false">S24+R25+Q25</f>
        <v>0</v>
      </c>
    </row>
    <row r="26" customFormat="false" ht="12.8" hidden="false" customHeight="false" outlineLevel="0" collapsed="false">
      <c r="A26" s="0" t="n">
        <v>16</v>
      </c>
      <c r="B26" s="3" t="n">
        <f aca="false">IF(A26&lt;=$C$4,PPMT($C$3/12,A26,$C$4,$C$2,0,0),0)</f>
        <v>0</v>
      </c>
      <c r="C26" s="3" t="n">
        <f aca="false">IF(A26&lt;=$C$4,IPMT($C$3/12,A26,$C$4,$C$2,0,0),0)</f>
        <v>0</v>
      </c>
      <c r="D26" s="3" t="n">
        <f aca="false">B26+C26</f>
        <v>0</v>
      </c>
      <c r="E26" s="3" t="n">
        <f aca="false">$C$2+SUM($B$11:B26)</f>
        <v>0</v>
      </c>
      <c r="G26" s="0" t="n">
        <v>16</v>
      </c>
      <c r="H26" s="3" t="n">
        <f aca="false">IF(L25=0,0,IF(L25&lt;-$C$6,-L25+I26,H25))</f>
        <v>0</v>
      </c>
      <c r="I26" s="3" t="n">
        <f aca="false">-$C$3/12*L25</f>
        <v>-0</v>
      </c>
      <c r="J26" s="3" t="n">
        <f aca="false">H26-I26</f>
        <v>0</v>
      </c>
      <c r="K26" s="3"/>
      <c r="L26" s="3" t="n">
        <f aca="false">L25+J26+K26</f>
        <v>0</v>
      </c>
      <c r="N26" s="0" t="n">
        <v>16</v>
      </c>
      <c r="O26" s="3" t="n">
        <f aca="false">IF(S25&gt;0,IF(R25&lt;0,PMT($C$3/12,$C$4-N25,S25),O25),0)</f>
        <v>0</v>
      </c>
      <c r="P26" s="3" t="n">
        <f aca="false">-$C$3/12*S25</f>
        <v>-0</v>
      </c>
      <c r="Q26" s="3" t="n">
        <f aca="false">O26-P26</f>
        <v>0</v>
      </c>
      <c r="R26" s="3"/>
      <c r="S26" s="3" t="n">
        <f aca="false">S25+R26+Q26</f>
        <v>0</v>
      </c>
    </row>
    <row r="27" customFormat="false" ht="12.8" hidden="false" customHeight="false" outlineLevel="0" collapsed="false">
      <c r="A27" s="0" t="n">
        <v>17</v>
      </c>
      <c r="B27" s="3" t="n">
        <f aca="false">IF(A27&lt;=$C$4,PPMT($C$3/12,A27,$C$4,$C$2,0,0),0)</f>
        <v>0</v>
      </c>
      <c r="C27" s="3" t="n">
        <f aca="false">IF(A27&lt;=$C$4,IPMT($C$3/12,A27,$C$4,$C$2,0,0),0)</f>
        <v>0</v>
      </c>
      <c r="D27" s="3" t="n">
        <f aca="false">B27+C27</f>
        <v>0</v>
      </c>
      <c r="E27" s="3" t="n">
        <f aca="false">$C$2+SUM($B$11:B27)</f>
        <v>0</v>
      </c>
      <c r="G27" s="0" t="n">
        <v>17</v>
      </c>
      <c r="H27" s="3" t="n">
        <f aca="false">IF(L26=0,0,IF(L26&lt;-$C$6,-L26+I27,H26))</f>
        <v>0</v>
      </c>
      <c r="I27" s="3" t="n">
        <f aca="false">-$C$3/12*L26</f>
        <v>-0</v>
      </c>
      <c r="J27" s="3" t="n">
        <f aca="false">H27-I27</f>
        <v>0</v>
      </c>
      <c r="K27" s="3"/>
      <c r="L27" s="3" t="n">
        <f aca="false">L26+J27+K27</f>
        <v>0</v>
      </c>
      <c r="N27" s="0" t="n">
        <v>17</v>
      </c>
      <c r="O27" s="3" t="n">
        <f aca="false">IF(S26&gt;0,IF(R26&lt;0,PMT($C$3/12,$C$4-N26,S26),O26),0)</f>
        <v>0</v>
      </c>
      <c r="P27" s="3" t="n">
        <f aca="false">-$C$3/12*S26</f>
        <v>-0</v>
      </c>
      <c r="Q27" s="3" t="n">
        <f aca="false">O27-P27</f>
        <v>0</v>
      </c>
      <c r="R27" s="3"/>
      <c r="S27" s="3" t="n">
        <f aca="false">S26+R27+Q27</f>
        <v>0</v>
      </c>
    </row>
    <row r="28" customFormat="false" ht="12.8" hidden="false" customHeight="false" outlineLevel="0" collapsed="false">
      <c r="A28" s="0" t="n">
        <v>18</v>
      </c>
      <c r="B28" s="3" t="n">
        <f aca="false">IF(A28&lt;=$C$4,PPMT($C$3/12,A28,$C$4,$C$2,0,0),0)</f>
        <v>0</v>
      </c>
      <c r="C28" s="3" t="n">
        <f aca="false">IF(A28&lt;=$C$4,IPMT($C$3/12,A28,$C$4,$C$2,0,0),0)</f>
        <v>0</v>
      </c>
      <c r="D28" s="3" t="n">
        <f aca="false">B28+C28</f>
        <v>0</v>
      </c>
      <c r="E28" s="3" t="n">
        <f aca="false">$C$2+SUM($B$11:B28)</f>
        <v>0</v>
      </c>
      <c r="G28" s="0" t="n">
        <v>18</v>
      </c>
      <c r="H28" s="3" t="n">
        <f aca="false">IF(L27=0,0,IF(L27&lt;-$C$6,-L27+I28,H27))</f>
        <v>0</v>
      </c>
      <c r="I28" s="3" t="n">
        <f aca="false">-$C$3/12*L27</f>
        <v>-0</v>
      </c>
      <c r="J28" s="3" t="n">
        <f aca="false">H28-I28</f>
        <v>0</v>
      </c>
      <c r="K28" s="3"/>
      <c r="L28" s="3" t="n">
        <f aca="false">L27+J28+K28</f>
        <v>0</v>
      </c>
      <c r="N28" s="0" t="n">
        <v>18</v>
      </c>
      <c r="O28" s="3" t="n">
        <f aca="false">IF(S27&gt;0,IF(R27&lt;0,PMT($C$3/12,$C$4-N27,S27),O27),0)</f>
        <v>0</v>
      </c>
      <c r="P28" s="3" t="n">
        <f aca="false">-$C$3/12*S27</f>
        <v>-0</v>
      </c>
      <c r="Q28" s="3" t="n">
        <f aca="false">O28-P28</f>
        <v>0</v>
      </c>
      <c r="R28" s="3"/>
      <c r="S28" s="3" t="n">
        <f aca="false">S27+R28+Q28</f>
        <v>0</v>
      </c>
    </row>
    <row r="29" customFormat="false" ht="12.8" hidden="false" customHeight="false" outlineLevel="0" collapsed="false">
      <c r="A29" s="0" t="n">
        <v>19</v>
      </c>
      <c r="B29" s="3" t="n">
        <f aca="false">IF(A29&lt;=$C$4,PPMT($C$3/12,A29,$C$4,$C$2,0,0),0)</f>
        <v>0</v>
      </c>
      <c r="C29" s="3" t="n">
        <f aca="false">IF(A29&lt;=$C$4,IPMT($C$3/12,A29,$C$4,$C$2,0,0),0)</f>
        <v>0</v>
      </c>
      <c r="D29" s="3" t="n">
        <f aca="false">B29+C29</f>
        <v>0</v>
      </c>
      <c r="E29" s="3" t="n">
        <f aca="false">$C$2+SUM($B$11:B29)</f>
        <v>0</v>
      </c>
      <c r="G29" s="0" t="n">
        <v>19</v>
      </c>
      <c r="H29" s="3" t="n">
        <f aca="false">IF(L28=0,0,IF(L28&lt;-$C$6,-L28+I29,H28))</f>
        <v>0</v>
      </c>
      <c r="I29" s="3" t="n">
        <f aca="false">-$C$3/12*L28</f>
        <v>-0</v>
      </c>
      <c r="J29" s="3" t="n">
        <f aca="false">H29-I29</f>
        <v>0</v>
      </c>
      <c r="K29" s="3"/>
      <c r="L29" s="3" t="n">
        <f aca="false">L28+J29+K29</f>
        <v>0</v>
      </c>
      <c r="N29" s="0" t="n">
        <v>19</v>
      </c>
      <c r="O29" s="3" t="n">
        <f aca="false">IF(S28&gt;0,IF(R28&lt;0,PMT($C$3/12,$C$4-N28,S28),O28),0)</f>
        <v>0</v>
      </c>
      <c r="P29" s="3" t="n">
        <f aca="false">-$C$3/12*S28</f>
        <v>-0</v>
      </c>
      <c r="Q29" s="3" t="n">
        <f aca="false">O29-P29</f>
        <v>0</v>
      </c>
      <c r="R29" s="3"/>
      <c r="S29" s="3" t="n">
        <f aca="false">S28+R29+Q29</f>
        <v>0</v>
      </c>
    </row>
    <row r="30" customFormat="false" ht="12.8" hidden="false" customHeight="false" outlineLevel="0" collapsed="false">
      <c r="A30" s="0" t="n">
        <v>20</v>
      </c>
      <c r="B30" s="3" t="n">
        <f aca="false">IF(A30&lt;=$C$4,PPMT($C$3/12,A30,$C$4,$C$2,0,0),0)</f>
        <v>0</v>
      </c>
      <c r="C30" s="3" t="n">
        <f aca="false">IF(A30&lt;=$C$4,IPMT($C$3/12,A30,$C$4,$C$2,0,0),0)</f>
        <v>0</v>
      </c>
      <c r="D30" s="3" t="n">
        <f aca="false">B30+C30</f>
        <v>0</v>
      </c>
      <c r="E30" s="3" t="n">
        <f aca="false">$C$2+SUM($B$11:B30)</f>
        <v>0</v>
      </c>
      <c r="G30" s="0" t="n">
        <v>20</v>
      </c>
      <c r="H30" s="3" t="n">
        <f aca="false">IF(L29=0,0,IF(L29&lt;-$C$6,-L29+I30,H29))</f>
        <v>0</v>
      </c>
      <c r="I30" s="3" t="n">
        <f aca="false">-$C$3/12*L29</f>
        <v>-0</v>
      </c>
      <c r="J30" s="3" t="n">
        <f aca="false">H30-I30</f>
        <v>0</v>
      </c>
      <c r="K30" s="3"/>
      <c r="L30" s="3" t="n">
        <f aca="false">L29+J30+K30</f>
        <v>0</v>
      </c>
      <c r="N30" s="0" t="n">
        <v>20</v>
      </c>
      <c r="O30" s="3" t="n">
        <f aca="false">IF(S29&gt;0,IF(R29&lt;0,PMT($C$3/12,$C$4-N29,S29),O29),0)</f>
        <v>0</v>
      </c>
      <c r="P30" s="3" t="n">
        <f aca="false">-$C$3/12*S29</f>
        <v>-0</v>
      </c>
      <c r="Q30" s="3" t="n">
        <f aca="false">O30-P30</f>
        <v>0</v>
      </c>
      <c r="R30" s="3"/>
      <c r="S30" s="3" t="n">
        <f aca="false">S29+R30+Q30</f>
        <v>0</v>
      </c>
    </row>
    <row r="31" customFormat="false" ht="12.8" hidden="false" customHeight="false" outlineLevel="0" collapsed="false">
      <c r="A31" s="0" t="n">
        <v>21</v>
      </c>
      <c r="B31" s="3" t="n">
        <f aca="false">IF(A31&lt;=$C$4,PPMT($C$3/12,A31,$C$4,$C$2,0,0),0)</f>
        <v>0</v>
      </c>
      <c r="C31" s="3" t="n">
        <f aca="false">IF(A31&lt;=$C$4,IPMT($C$3/12,A31,$C$4,$C$2,0,0),0)</f>
        <v>0</v>
      </c>
      <c r="D31" s="3" t="n">
        <f aca="false">B31+C31</f>
        <v>0</v>
      </c>
      <c r="E31" s="3" t="n">
        <f aca="false">$C$2+SUM($B$11:B31)</f>
        <v>0</v>
      </c>
      <c r="G31" s="0" t="n">
        <v>21</v>
      </c>
      <c r="H31" s="3" t="n">
        <f aca="false">IF(L30=0,0,IF(L30&lt;-$C$6,-L30+I31,H30))</f>
        <v>0</v>
      </c>
      <c r="I31" s="3" t="n">
        <f aca="false">-$C$3/12*L30</f>
        <v>-0</v>
      </c>
      <c r="J31" s="3" t="n">
        <f aca="false">H31-I31</f>
        <v>0</v>
      </c>
      <c r="K31" s="3"/>
      <c r="L31" s="3" t="n">
        <f aca="false">L30+J31+K31</f>
        <v>0</v>
      </c>
      <c r="N31" s="0" t="n">
        <v>21</v>
      </c>
      <c r="O31" s="3" t="n">
        <f aca="false">IF(S30&gt;0,IF(R30&lt;0,PMT($C$3/12,$C$4-N30,S30),O30),0)</f>
        <v>0</v>
      </c>
      <c r="P31" s="3" t="n">
        <f aca="false">-$C$3/12*S30</f>
        <v>-0</v>
      </c>
      <c r="Q31" s="3" t="n">
        <f aca="false">O31-P31</f>
        <v>0</v>
      </c>
      <c r="R31" s="3"/>
      <c r="S31" s="3" t="n">
        <f aca="false">S30+R31+Q31</f>
        <v>0</v>
      </c>
    </row>
    <row r="32" customFormat="false" ht="12.8" hidden="false" customHeight="false" outlineLevel="0" collapsed="false">
      <c r="A32" s="0" t="n">
        <v>22</v>
      </c>
      <c r="B32" s="3" t="n">
        <f aca="false">IF(A32&lt;=$C$4,PPMT($C$3/12,A32,$C$4,$C$2,0,0),0)</f>
        <v>0</v>
      </c>
      <c r="C32" s="3" t="n">
        <f aca="false">IF(A32&lt;=$C$4,IPMT($C$3/12,A32,$C$4,$C$2,0,0),0)</f>
        <v>0</v>
      </c>
      <c r="D32" s="3" t="n">
        <f aca="false">B32+C32</f>
        <v>0</v>
      </c>
      <c r="E32" s="3" t="n">
        <f aca="false">$C$2+SUM($B$11:B32)</f>
        <v>0</v>
      </c>
      <c r="G32" s="0" t="n">
        <v>22</v>
      </c>
      <c r="H32" s="3" t="n">
        <f aca="false">IF(L31=0,0,IF(L31&lt;-$C$6,-L31+I32,H31))</f>
        <v>0</v>
      </c>
      <c r="I32" s="3" t="n">
        <f aca="false">-$C$3/12*L31</f>
        <v>-0</v>
      </c>
      <c r="J32" s="3" t="n">
        <f aca="false">H32-I32</f>
        <v>0</v>
      </c>
      <c r="K32" s="3"/>
      <c r="L32" s="3" t="n">
        <f aca="false">L31+J32+K32</f>
        <v>0</v>
      </c>
      <c r="N32" s="0" t="n">
        <v>22</v>
      </c>
      <c r="O32" s="3" t="n">
        <f aca="false">IF(S31&gt;0,IF(R31&lt;0,PMT($C$3/12,$C$4-N31,S31),O31),0)</f>
        <v>0</v>
      </c>
      <c r="P32" s="3" t="n">
        <f aca="false">-$C$3/12*S31</f>
        <v>-0</v>
      </c>
      <c r="Q32" s="3" t="n">
        <f aca="false">O32-P32</f>
        <v>0</v>
      </c>
      <c r="R32" s="3"/>
      <c r="S32" s="3" t="n">
        <f aca="false">S31+R32+Q32</f>
        <v>0</v>
      </c>
    </row>
    <row r="33" customFormat="false" ht="12.8" hidden="false" customHeight="false" outlineLevel="0" collapsed="false">
      <c r="A33" s="0" t="n">
        <v>23</v>
      </c>
      <c r="B33" s="3" t="n">
        <f aca="false">IF(A33&lt;=$C$4,PPMT($C$3/12,A33,$C$4,$C$2,0,0),0)</f>
        <v>0</v>
      </c>
      <c r="C33" s="3" t="n">
        <f aca="false">IF(A33&lt;=$C$4,IPMT($C$3/12,A33,$C$4,$C$2,0,0),0)</f>
        <v>0</v>
      </c>
      <c r="D33" s="3" t="n">
        <f aca="false">B33+C33</f>
        <v>0</v>
      </c>
      <c r="E33" s="3" t="n">
        <f aca="false">$C$2+SUM($B$11:B33)</f>
        <v>0</v>
      </c>
      <c r="G33" s="0" t="n">
        <v>23</v>
      </c>
      <c r="H33" s="3" t="n">
        <f aca="false">IF(L32=0,0,IF(L32&lt;-$C$6,-L32+I33,H32))</f>
        <v>0</v>
      </c>
      <c r="I33" s="3" t="n">
        <f aca="false">-$C$3/12*L32</f>
        <v>-0</v>
      </c>
      <c r="J33" s="3" t="n">
        <f aca="false">H33-I33</f>
        <v>0</v>
      </c>
      <c r="K33" s="3"/>
      <c r="L33" s="3" t="n">
        <f aca="false">L32+J33+K33</f>
        <v>0</v>
      </c>
      <c r="N33" s="0" t="n">
        <v>23</v>
      </c>
      <c r="O33" s="3" t="n">
        <f aca="false">IF(S32&gt;0,IF(R32&lt;0,PMT($C$3/12,$C$4-N32,S32),O32),0)</f>
        <v>0</v>
      </c>
      <c r="P33" s="3" t="n">
        <f aca="false">-$C$3/12*S32</f>
        <v>-0</v>
      </c>
      <c r="Q33" s="3" t="n">
        <f aca="false">O33-P33</f>
        <v>0</v>
      </c>
      <c r="R33" s="3"/>
      <c r="S33" s="3" t="n">
        <f aca="false">S32+R33+Q33</f>
        <v>0</v>
      </c>
    </row>
    <row r="34" customFormat="false" ht="12.8" hidden="false" customHeight="false" outlineLevel="0" collapsed="false">
      <c r="A34" s="0" t="n">
        <v>24</v>
      </c>
      <c r="B34" s="3" t="n">
        <f aca="false">IF(A34&lt;=$C$4,PPMT($C$3/12,A34,$C$4,$C$2,0,0),0)</f>
        <v>0</v>
      </c>
      <c r="C34" s="3" t="n">
        <f aca="false">IF(A34&lt;=$C$4,IPMT($C$3/12,A34,$C$4,$C$2,0,0),0)</f>
        <v>0</v>
      </c>
      <c r="D34" s="3" t="n">
        <f aca="false">B34+C34</f>
        <v>0</v>
      </c>
      <c r="E34" s="3" t="n">
        <f aca="false">$C$2+SUM($B$11:B34)</f>
        <v>0</v>
      </c>
      <c r="G34" s="0" t="n">
        <v>24</v>
      </c>
      <c r="H34" s="3" t="n">
        <f aca="false">IF(L33=0,0,IF(L33&lt;-$C$6,-L33+I34,H33))</f>
        <v>0</v>
      </c>
      <c r="I34" s="3" t="n">
        <f aca="false">-$C$3/12*L33</f>
        <v>-0</v>
      </c>
      <c r="J34" s="3" t="n">
        <f aca="false">H34-I34</f>
        <v>0</v>
      </c>
      <c r="K34" s="3"/>
      <c r="L34" s="3" t="n">
        <f aca="false">L33+J34+K34</f>
        <v>0</v>
      </c>
      <c r="N34" s="0" t="n">
        <v>24</v>
      </c>
      <c r="O34" s="3" t="n">
        <f aca="false">IF(S33&gt;0,IF(R33&lt;0,PMT($C$3/12,$C$4-N33,S33),O33),0)</f>
        <v>0</v>
      </c>
      <c r="P34" s="3" t="n">
        <f aca="false">-$C$3/12*S33</f>
        <v>-0</v>
      </c>
      <c r="Q34" s="3" t="n">
        <f aca="false">O34-P34</f>
        <v>0</v>
      </c>
      <c r="R34" s="3"/>
      <c r="S34" s="3" t="n">
        <f aca="false">S33+R34+Q34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2026-02-17T20:06:34Z</dcterms:created>
  <dc:creator/>
  <dc:description/>
  <dc:language>ru-RU</dc:language>
  <cp:lastModifiedBy/>
  <dcterms:modified xsi:type="dcterms:W3CDTF">2026-02-17T21:04:50Z</dcterms:modified>
  <cp:revision>1</cp:revision>
  <dc:subject/>
  <dc:title/>
</cp:coreProperties>
</file>